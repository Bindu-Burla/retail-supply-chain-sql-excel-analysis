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archive\"/>
    </mc:Choice>
  </mc:AlternateContent>
  <bookViews>
    <workbookView xWindow="0" yWindow="0" windowWidth="20490" windowHeight="7635" firstSheet="1" activeTab="1"/>
  </bookViews>
  <sheets>
    <sheet name="subcategory_profit_v2" sheetId="10" r:id="rId1"/>
    <sheet name="Dashboard" sheetId="9" r:id="rId2"/>
    <sheet name="monthly_sales_trend" sheetId="8" r:id="rId3"/>
    <sheet name="top_customers" sheetId="7" r:id="rId4"/>
    <sheet name="shipping_time" sheetId="6" r:id="rId5"/>
    <sheet name="top_products_profit" sheetId="5" r:id="rId6"/>
    <sheet name="top_products_sales" sheetId="4" r:id="rId7"/>
    <sheet name="Sales_by_Region" sheetId="2" r:id="rId8"/>
    <sheet name="Sheet1" sheetId="1" r:id="rId9"/>
  </sheets>
  <definedNames>
    <definedName name="_xlnm.Print_Area" localSheetId="1">Dashboard!$A$1:$N$36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9" l="1"/>
  <c r="C3" i="9" l="1"/>
  <c r="A3" i="9"/>
  <c r="G3" i="9" l="1"/>
</calcChain>
</file>

<file path=xl/sharedStrings.xml><?xml version="1.0" encoding="utf-8"?>
<sst xmlns="http://schemas.openxmlformats.org/spreadsheetml/2006/main" count="242" uniqueCount="126">
  <si>
    <t>Region</t>
  </si>
  <si>
    <t>Total_Sales</t>
  </si>
  <si>
    <t>Total_Profit</t>
  </si>
  <si>
    <t>Total_Orders</t>
  </si>
  <si>
    <t>West</t>
  </si>
  <si>
    <t>East</t>
  </si>
  <si>
    <t>Central</t>
  </si>
  <si>
    <t>South</t>
  </si>
  <si>
    <t>Category</t>
  </si>
  <si>
    <t>Sub-Category</t>
  </si>
  <si>
    <t>Furniture</t>
  </si>
  <si>
    <t>Tables</t>
  </si>
  <si>
    <t>Bookcases</t>
  </si>
  <si>
    <t>Office Supplies</t>
  </si>
  <si>
    <t>Supplies</t>
  </si>
  <si>
    <t>Fasteners</t>
  </si>
  <si>
    <t>Technology</t>
  </si>
  <si>
    <t>Machines</t>
  </si>
  <si>
    <t>Labels</t>
  </si>
  <si>
    <t>Art</t>
  </si>
  <si>
    <t>Envelopes</t>
  </si>
  <si>
    <t>Furnishings</t>
  </si>
  <si>
    <t>Appliances</t>
  </si>
  <si>
    <t>Product Name</t>
  </si>
  <si>
    <t>Total_Quantity_Sold</t>
  </si>
  <si>
    <t>Canon imageCLASS 2200 Advanced Copier</t>
  </si>
  <si>
    <t>Copiers</t>
  </si>
  <si>
    <t>Fellowes PB500 Electric Punch Plastic Comb Binding Machine with Manual Bind</t>
  </si>
  <si>
    <t>Binders</t>
  </si>
  <si>
    <t>Cisco TelePresence System EX90 Videoconferencing Unit</t>
  </si>
  <si>
    <t>HON 5400 Series Task Chairs for Big and Tall</t>
  </si>
  <si>
    <t>Chairs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</si>
  <si>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</si>
  <si>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</si>
  <si>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</si>
  <si>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</si>
  <si>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</si>
  <si>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</si>
  <si>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Canon PC1060 Personal Laser Copier</t>
  </si>
  <si>
    <t>Ativa V4110MDD Micro-Cut Shredder</t>
  </si>
  <si>
    <t>3D Systems Cube Printer, 2nd Generation, Magenta</t>
  </si>
  <si>
    <t>Plantronics Savi W720 Multi-Device Wireless Headset System</t>
  </si>
  <si>
    <t>Accessories</t>
  </si>
  <si>
    <t>Ibico EPK-21 Electric Binding System</t>
  </si>
  <si>
    <t>Zebra ZM400 Thermal Label Printer</t>
  </si>
  <si>
    <t>Ship Mode</t>
  </si>
  <si>
    <t>Avg_Shipping_Days</t>
  </si>
  <si>
    <t>Same Day</t>
  </si>
  <si>
    <t>First Class</t>
  </si>
  <si>
    <t>Second Class</t>
  </si>
  <si>
    <t>Standard Class</t>
  </si>
  <si>
    <t>Customer Name</t>
  </si>
  <si>
    <t>Total_Spend</t>
  </si>
  <si>
    <t>Customer_Rank</t>
  </si>
  <si>
    <t>Sean Miller</t>
  </si>
  <si>
    <t>Tamara Chand</t>
  </si>
  <si>
    <t>Raymond Buch</t>
  </si>
  <si>
    <t>Tom Ashbrook</t>
  </si>
  <si>
    <t>Adrian Barton</t>
  </si>
  <si>
    <t>Becky Martin</t>
  </si>
  <si>
    <t>Hunter Lopez</t>
  </si>
  <si>
    <t>Bill Shonely</t>
  </si>
  <si>
    <t>Sanjit Chand</t>
  </si>
  <si>
    <t>Greg Tran</t>
  </si>
  <si>
    <t>Seth Vernon</t>
  </si>
  <si>
    <t>Sanjit Engle</t>
  </si>
  <si>
    <t>Christopher Conant</t>
  </si>
  <si>
    <t>Ken Lonsdale</t>
  </si>
  <si>
    <t>Grant Thornton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</si>
  <si>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</si>
  <si>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</si>
  <si>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</si>
  <si>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</si>
  <si>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</si>
  <si>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</si>
  <si>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</si>
  <si>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</si>
  <si>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</si>
  <si>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</si>
  <si>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</si>
  <si>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</si>
  <si>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</si>
  <si>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</si>
  <si>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</si>
  <si>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</si>
  <si>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</si>
  <si>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</si>
  <si>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</si>
  <si>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</si>
  <si>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</si>
  <si>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</si>
  <si>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</si>
  <si>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</si>
  <si>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</si>
  <si>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</si>
  <si>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</si>
  <si>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</si>
  <si>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</si>
  <si>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</si>
  <si>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</si>
  <si>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</si>
  <si>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</si>
  <si>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</si>
  <si>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</si>
  <si>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</si>
  <si>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</si>
  <si>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</si>
  <si>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</si>
  <si>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</si>
  <si>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</si>
  <si>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</si>
  <si>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</si>
  <si>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</si>
  <si>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</si>
  <si>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</si>
  <si>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</si>
  <si>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</si>
  <si>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</si>
  <si>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Storage</t>
  </si>
  <si>
    <t>Paper</t>
  </si>
  <si>
    <t>Phones</t>
  </si>
  <si>
    <t>Total Sales</t>
  </si>
  <si>
    <t>Total Profit</t>
  </si>
  <si>
    <t>Profit Margin</t>
  </si>
  <si>
    <t>Total  Orders</t>
  </si>
  <si>
    <t>Retail Supply Chain &amp;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</si>
</sst>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Border="1"/>
    <xf numFmtId="0" fontId="0" fillId="0" borderId="0" xfId="0" applyBorder="1"/>
    <xf numFmtId="0" fontId="3" fillId="3" borderId="0" xfId="0" applyFont="1" applyFill="1" applyBorder="1"/>
    <xf numFmtId="0" fontId="0" fillId="2" borderId="0" xfId="0" applyFill="1" applyBorder="1"/>
    <xf numFmtId="0" fontId="1" fillId="2" borderId="0" xfId="0" applyFont="1" applyFill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vs. Profit Trend (2014-2018)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monthly_sales_trend!$B$1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monthly_sales_trend!$A$2:$A$49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monthly_sales_trend!$B$2:$B$49</c:f>
              <c:numCache>
                <c:formatCode>General</c:formatCode>
                <c:ptCount val="48"/>
                <c:pt idx="0">
                  <c:v>28953.71</c:v>
                </c:pt>
                <c:pt idx="1">
                  <c:v>12743.12</c:v>
                </c:pt>
                <c:pt idx="2">
                  <c:v>54801.96</c:v>
                </c:pt>
                <c:pt idx="3">
                  <c:v>24710.03</c:v>
                </c:pt>
                <c:pt idx="4">
                  <c:v>29639.84</c:v>
                </c:pt>
                <c:pt idx="5">
                  <c:v>29287.06</c:v>
                </c:pt>
                <c:pt idx="6">
                  <c:v>35341.230000000003</c:v>
                </c:pt>
                <c:pt idx="7">
                  <c:v>37854.57</c:v>
                </c:pt>
                <c:pt idx="8">
                  <c:v>66110.2</c:v>
                </c:pt>
                <c:pt idx="9">
                  <c:v>34561.93</c:v>
                </c:pt>
                <c:pt idx="10">
                  <c:v>64817.599999999999</c:v>
                </c:pt>
                <c:pt idx="11">
                  <c:v>65426.31</c:v>
                </c:pt>
                <c:pt idx="12">
                  <c:v>29347.37</c:v>
                </c:pt>
                <c:pt idx="13">
                  <c:v>20728.34</c:v>
                </c:pt>
                <c:pt idx="14">
                  <c:v>40876.620000000003</c:v>
                </c:pt>
                <c:pt idx="15">
                  <c:v>38057</c:v>
                </c:pt>
                <c:pt idx="16">
                  <c:v>30933.72</c:v>
                </c:pt>
                <c:pt idx="17">
                  <c:v>28862.18</c:v>
                </c:pt>
                <c:pt idx="18">
                  <c:v>28730.400000000001</c:v>
                </c:pt>
                <c:pt idx="19">
                  <c:v>50094.51</c:v>
                </c:pt>
                <c:pt idx="20">
                  <c:v>66729.279999999999</c:v>
                </c:pt>
                <c:pt idx="21">
                  <c:v>32025.05</c:v>
                </c:pt>
                <c:pt idx="22">
                  <c:v>50732.29</c:v>
                </c:pt>
                <c:pt idx="23">
                  <c:v>53415.7</c:v>
                </c:pt>
                <c:pt idx="24">
                  <c:v>38048.21</c:v>
                </c:pt>
                <c:pt idx="25">
                  <c:v>49238.41</c:v>
                </c:pt>
                <c:pt idx="26">
                  <c:v>49612.06</c:v>
                </c:pt>
                <c:pt idx="27">
                  <c:v>45192.31</c:v>
                </c:pt>
                <c:pt idx="28">
                  <c:v>64964.34</c:v>
                </c:pt>
                <c:pt idx="29">
                  <c:v>38991.96</c:v>
                </c:pt>
                <c:pt idx="30">
                  <c:v>42773.4</c:v>
                </c:pt>
                <c:pt idx="31">
                  <c:v>46339.97</c:v>
                </c:pt>
                <c:pt idx="32">
                  <c:v>41985.21</c:v>
                </c:pt>
                <c:pt idx="33">
                  <c:v>52268.21</c:v>
                </c:pt>
                <c:pt idx="34">
                  <c:v>66837.649999999994</c:v>
                </c:pt>
                <c:pt idx="35">
                  <c:v>72954.13</c:v>
                </c:pt>
                <c:pt idx="36">
                  <c:v>64734.32</c:v>
                </c:pt>
                <c:pt idx="37">
                  <c:v>50011.5</c:v>
                </c:pt>
                <c:pt idx="38">
                  <c:v>74774.080000000002</c:v>
                </c:pt>
                <c:pt idx="39">
                  <c:v>39071.96</c:v>
                </c:pt>
                <c:pt idx="40">
                  <c:v>40882.43</c:v>
                </c:pt>
                <c:pt idx="41">
                  <c:v>47742.31</c:v>
                </c:pt>
                <c:pt idx="42">
                  <c:v>54382.06</c:v>
                </c:pt>
                <c:pt idx="43">
                  <c:v>75675.3</c:v>
                </c:pt>
                <c:pt idx="44">
                  <c:v>74164.639999999999</c:v>
                </c:pt>
                <c:pt idx="45">
                  <c:v>65501.22</c:v>
                </c:pt>
                <c:pt idx="46">
                  <c:v>89306.23</c:v>
                </c:pt>
                <c:pt idx="47">
                  <c:v>56969.14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monthly_sales_trend!$C$1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monthly_sales_trend!$A$2:$A$49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monthly_sales_trend!$C$2:$C$49</c:f>
              <c:numCache>
                <c:formatCode>General</c:formatCode>
                <c:ptCount val="48"/>
                <c:pt idx="0">
                  <c:v>4549.46</c:v>
                </c:pt>
                <c:pt idx="1">
                  <c:v>2654.58</c:v>
                </c:pt>
                <c:pt idx="2">
                  <c:v>92.68</c:v>
                </c:pt>
                <c:pt idx="3">
                  <c:v>4601.12</c:v>
                </c:pt>
                <c:pt idx="4">
                  <c:v>3912.23</c:v>
                </c:pt>
                <c:pt idx="5">
                  <c:v>4499.78</c:v>
                </c:pt>
                <c:pt idx="6">
                  <c:v>-1783.56</c:v>
                </c:pt>
                <c:pt idx="7">
                  <c:v>2081.2800000000002</c:v>
                </c:pt>
                <c:pt idx="8">
                  <c:v>10232.290000000001</c:v>
                </c:pt>
                <c:pt idx="9">
                  <c:v>4075.17</c:v>
                </c:pt>
                <c:pt idx="10">
                  <c:v>6653.22</c:v>
                </c:pt>
                <c:pt idx="11">
                  <c:v>7975.81</c:v>
                </c:pt>
                <c:pt idx="12">
                  <c:v>1237.05</c:v>
                </c:pt>
                <c:pt idx="13">
                  <c:v>2171.4299999999998</c:v>
                </c:pt>
                <c:pt idx="14">
                  <c:v>9165.69</c:v>
                </c:pt>
                <c:pt idx="15">
                  <c:v>6132.94</c:v>
                </c:pt>
                <c:pt idx="16">
                  <c:v>2779.37</c:v>
                </c:pt>
                <c:pt idx="17">
                  <c:v>4788.3999999999996</c:v>
                </c:pt>
                <c:pt idx="18">
                  <c:v>671.78</c:v>
                </c:pt>
                <c:pt idx="19">
                  <c:v>10112.25</c:v>
                </c:pt>
                <c:pt idx="20">
                  <c:v>9929.3799999999992</c:v>
                </c:pt>
                <c:pt idx="21">
                  <c:v>3433.24</c:v>
                </c:pt>
                <c:pt idx="22">
                  <c:v>5582.41</c:v>
                </c:pt>
                <c:pt idx="23">
                  <c:v>5614.75</c:v>
                </c:pt>
                <c:pt idx="24">
                  <c:v>8501.1</c:v>
                </c:pt>
                <c:pt idx="25">
                  <c:v>14683.69</c:v>
                </c:pt>
                <c:pt idx="26">
                  <c:v>1950.35</c:v>
                </c:pt>
                <c:pt idx="27">
                  <c:v>7423.34</c:v>
                </c:pt>
                <c:pt idx="28">
                  <c:v>9975.4</c:v>
                </c:pt>
                <c:pt idx="29">
                  <c:v>4480.34</c:v>
                </c:pt>
                <c:pt idx="30">
                  <c:v>6122.42</c:v>
                </c:pt>
                <c:pt idx="31">
                  <c:v>859.43</c:v>
                </c:pt>
                <c:pt idx="32">
                  <c:v>5171.87</c:v>
                </c:pt>
                <c:pt idx="33">
                  <c:v>8256.5499999999993</c:v>
                </c:pt>
                <c:pt idx="34">
                  <c:v>3057.62</c:v>
                </c:pt>
                <c:pt idx="35">
                  <c:v>11313.16</c:v>
                </c:pt>
                <c:pt idx="36">
                  <c:v>10879.47</c:v>
                </c:pt>
                <c:pt idx="37">
                  <c:v>4244.01</c:v>
                </c:pt>
                <c:pt idx="38">
                  <c:v>18127.849999999999</c:v>
                </c:pt>
                <c:pt idx="39">
                  <c:v>-5890.04</c:v>
                </c:pt>
                <c:pt idx="40">
                  <c:v>7567.43</c:v>
                </c:pt>
                <c:pt idx="41">
                  <c:v>7396.41</c:v>
                </c:pt>
                <c:pt idx="42">
                  <c:v>4997.9399999999996</c:v>
                </c:pt>
                <c:pt idx="43">
                  <c:v>11767.5</c:v>
                </c:pt>
                <c:pt idx="44">
                  <c:v>9221.52</c:v>
                </c:pt>
                <c:pt idx="45">
                  <c:v>6572.18</c:v>
                </c:pt>
                <c:pt idx="46">
                  <c:v>11141.83</c:v>
                </c:pt>
                <c:pt idx="47">
                  <c:v>7413.67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731624"/>
        <c:axId val="363732408"/>
      </c:lineChart>
      <c:catAx>
        <c:axId val="36373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32408"/>
        <c:crosses val="autoZero"/>
        <c:auto val="1"/>
        <c:lblAlgn val="ctr"/>
        <c:lblOffset val="100"/>
        <c:noMultiLvlLbl val="0"/>
      </c:catAx>
      <c:valAx>
        <c:axId val="36373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3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&amp; Profit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Sales_by_Region!$B$2:$B$5</c:f>
              <c:numCache>
                <c:formatCode>General</c:formatCode>
                <c:ptCount val="4"/>
                <c:pt idx="0">
                  <c:v>725457.93</c:v>
                </c:pt>
                <c:pt idx="1">
                  <c:v>678781.36</c:v>
                </c:pt>
                <c:pt idx="2">
                  <c:v>501239.88</c:v>
                </c:pt>
                <c:pt idx="3">
                  <c:v>391721.9</c:v>
                </c:pt>
              </c:numCache>
            </c:numRef>
          </c:val>
        </c:ser>
        <c:ser>
          <c:idx val="1"/>
          <c:order val="1"/>
          <c:tx>
            <c:strRef>
              <c:f>Sales_by_Region!$C$1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Sales_by_Region!$A$2:$A$5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Sales_by_Region!$C$2:$C$5</c:f>
              <c:numCache>
                <c:formatCode>General</c:formatCode>
                <c:ptCount val="4"/>
                <c:pt idx="0">
                  <c:v>108418.79</c:v>
                </c:pt>
                <c:pt idx="1">
                  <c:v>91522.84</c:v>
                </c:pt>
                <c:pt idx="2">
                  <c:v>39706.449999999997</c:v>
                </c:pt>
                <c:pt idx="3">
                  <c:v>46749.71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735152"/>
        <c:axId val="363732016"/>
      </c:barChart>
      <c:catAx>
        <c:axId val="36373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32016"/>
        <c:crosses val="autoZero"/>
        <c:auto val="1"/>
        <c:lblAlgn val="ctr"/>
        <c:lblOffset val="100"/>
        <c:noMultiLvlLbl val="0"/>
      </c:catAx>
      <c:valAx>
        <c:axId val="36373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3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top_products_profit!$E$1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top_products_profit!$A$2:$A$11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top_products_profit!$E$2:$E$11</c:f>
              <c:numCache>
                <c:formatCode>General</c:formatCode>
                <c:ptCount val="10"/>
                <c:pt idx="0">
                  <c:v>61599.83</c:v>
                </c:pt>
                <c:pt idx="1">
                  <c:v>27453.38</c:v>
                </c:pt>
                <c:pt idx="2">
                  <c:v>18839.68</c:v>
                </c:pt>
                <c:pt idx="3">
                  <c:v>11619.83</c:v>
                </c:pt>
                <c:pt idx="4">
                  <c:v>18374.900000000001</c:v>
                </c:pt>
                <c:pt idx="5">
                  <c:v>7699.89</c:v>
                </c:pt>
                <c:pt idx="6">
                  <c:v>14299.89</c:v>
                </c:pt>
                <c:pt idx="7">
                  <c:v>9367.2900000000009</c:v>
                </c:pt>
                <c:pt idx="8">
                  <c:v>15875.92</c:v>
                </c:pt>
                <c:pt idx="9">
                  <c:v>6965.7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735544"/>
        <c:axId val="318523192"/>
      </c:barChart>
      <c:catAx>
        <c:axId val="36373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23192"/>
        <c:crosses val="autoZero"/>
        <c:auto val="1"/>
        <c:lblAlgn val="ctr"/>
        <c:lblOffset val="100"/>
        <c:noMultiLvlLbl val="0"/>
      </c:catAx>
      <c:valAx>
        <c:axId val="31852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3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Sub-Category (2014-2018)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subcategory_profit_v2!$D$1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subcategory_profit_v2!$B$2:$B$18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subcategory_profit_v2!$D$2:$D$18</c:f>
              <c:numCache>
                <c:formatCode>General</c:formatCode>
                <c:ptCount val="17"/>
                <c:pt idx="0">
                  <c:v>-17725.59</c:v>
                </c:pt>
                <c:pt idx="1">
                  <c:v>-3472.56</c:v>
                </c:pt>
                <c:pt idx="2">
                  <c:v>-1188.99</c:v>
                </c:pt>
                <c:pt idx="3">
                  <c:v>949.53</c:v>
                </c:pt>
                <c:pt idx="4">
                  <c:v>3384.73</c:v>
                </c:pt>
                <c:pt idx="5">
                  <c:v>5546.18</c:v>
                </c:pt>
                <c:pt idx="6">
                  <c:v>6527.96</c:v>
                </c:pt>
                <c:pt idx="7">
                  <c:v>6964.1</c:v>
                </c:pt>
                <c:pt idx="8">
                  <c:v>13059.25</c:v>
                </c:pt>
                <c:pt idx="9">
                  <c:v>18138.07</c:v>
                </c:pt>
                <c:pt idx="10">
                  <c:v>21279.05</c:v>
                </c:pt>
                <c:pt idx="11">
                  <c:v>26590.15</c:v>
                </c:pt>
                <c:pt idx="12">
                  <c:v>30221.64</c:v>
                </c:pt>
                <c:pt idx="13">
                  <c:v>34053.339999999997</c:v>
                </c:pt>
                <c:pt idx="14">
                  <c:v>41936.78</c:v>
                </c:pt>
                <c:pt idx="15">
                  <c:v>44516.25</c:v>
                </c:pt>
                <c:pt idx="16">
                  <c:v>55617.9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050088"/>
        <c:axId val="137051656"/>
      </c:barChart>
      <c:catAx>
        <c:axId val="137050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1656"/>
        <c:crosses val="autoZero"/>
        <c:auto val="1"/>
        <c:lblAlgn val="ctr"/>
        <c:lblOffset val="100"/>
        <c:noMultiLvlLbl val="0"/>
      </c:catAx>
      <c:valAx>
        <c:axId val="137051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0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27216</xdr:colOff>
      <xdr:row>3</xdr:row>
      <xdr:rowOff>27215</xdr:rowOff>
    </xdr:from>
    <xdr:to>
      <xdr:col>1</xdr:col>
      <xdr:colOff>3456214</xdr:colOff>
      <xdr:row>22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3605892</xdr:colOff>
      <xdr:row>3</xdr:row>
      <xdr:rowOff>13608</xdr:rowOff>
    </xdr:from>
    <xdr:to>
      <xdr:col>3</xdr:col>
      <xdr:colOff>2490107</xdr:colOff>
      <xdr:row>22</xdr:row>
      <xdr:rowOff>27215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4</xdr:row>
      <xdr:rowOff>114300</xdr:rowOff>
    </xdr:to>
    <xdr:sp macro="" textlink="">
      <xdr:nvSpPr>
        <xdr:cNvPr id="2049" name="AutoShape 1" descr="1783431658953_image.png"/>
        <xdr:cNvSpPr>
          <a:spLocks noChangeAspect="1" noChangeArrowheads="1"/>
        </xdr:cNvSpPr>
      </xdr:nvSpPr>
      <xdr:spPr bwMode="auto">
        <a:xfrm>
          <a:off x="7924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3905250</xdr:colOff>
      <xdr:row>3</xdr:row>
      <xdr:rowOff>0</xdr:rowOff>
    </xdr:from>
    <xdr:to>
      <xdr:col>12</xdr:col>
      <xdr:colOff>258536</xdr:colOff>
      <xdr:row>28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2639786</xdr:colOff>
      <xdr:row>3</xdr:row>
      <xdr:rowOff>13606</xdr:rowOff>
    </xdr:from>
    <xdr:to>
      <xdr:col>5</xdr:col>
      <xdr:colOff>3646714</xdr:colOff>
      <xdr:row>26</xdr:row>
      <xdr:rowOff>68036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" activeCellId="1" sqref="B1:B1048576 D1:D1048576"/>
    </sheetView>
  </sheetViews>
  <sheetFormatPr defaultRowHeight="15" x14ac:dyDescent="0.25"/>
  <cols>
    <col min="1" max="1" width="17.140625" customWidth="1"/>
    <col min="2" max="2" width="13.7109375" customWidth="1"/>
    <col min="3" max="3" width="11.85546875" customWidth="1"/>
    <col min="4" max="4" width="12.42578125" customWidth="1"/>
  </cols>
  <sheetData>
    <row r="1" spans="1:4" x14ac:dyDescent="0.25">
      <c r="A1" t="s">
        <v>8</v>
      </c>
      <c r="B1" t="s">
        <v>9</v>
      </c>
      <c r="C1" t="s">
        <v>1</v>
      </c>
      <c r="D1" t="s">
        <v>2</v>
      </c>
    </row>
    <row r="2" spans="1:4" x14ac:dyDescent="0.25">
      <c r="A2" t="s">
        <v>10</v>
      </c>
      <c r="B2" t="s">
        <v>11</v>
      </c>
      <c r="C2">
        <v>206965.68</v>
      </c>
      <c r="D2">
        <v>-17725.59</v>
      </c>
    </row>
    <row r="3" spans="1:4" x14ac:dyDescent="0.25">
      <c r="A3" t="s">
        <v>10</v>
      </c>
      <c r="B3" t="s">
        <v>12</v>
      </c>
      <c r="C3">
        <v>114880.05</v>
      </c>
      <c r="D3">
        <v>-3472.56</v>
      </c>
    </row>
    <row r="4" spans="1:4" x14ac:dyDescent="0.25">
      <c r="A4" t="s">
        <v>13</v>
      </c>
      <c r="B4" t="s">
        <v>14</v>
      </c>
      <c r="C4">
        <v>46673.52</v>
      </c>
      <c r="D4">
        <v>-1188.99</v>
      </c>
    </row>
    <row r="5" spans="1:4" x14ac:dyDescent="0.25">
      <c r="A5" t="s">
        <v>13</v>
      </c>
      <c r="B5" t="s">
        <v>15</v>
      </c>
      <c r="C5">
        <v>3024.25</v>
      </c>
      <c r="D5">
        <v>949.53</v>
      </c>
    </row>
    <row r="6" spans="1:4" x14ac:dyDescent="0.25">
      <c r="A6" t="s">
        <v>16</v>
      </c>
      <c r="B6" t="s">
        <v>17</v>
      </c>
      <c r="C6">
        <v>189238.68</v>
      </c>
      <c r="D6">
        <v>3384.73</v>
      </c>
    </row>
    <row r="7" spans="1:4" x14ac:dyDescent="0.25">
      <c r="A7" t="s">
        <v>13</v>
      </c>
      <c r="B7" t="s">
        <v>18</v>
      </c>
      <c r="C7">
        <v>12486.3</v>
      </c>
      <c r="D7">
        <v>5546.18</v>
      </c>
    </row>
    <row r="8" spans="1:4" x14ac:dyDescent="0.25">
      <c r="A8" t="s">
        <v>13</v>
      </c>
      <c r="B8" t="s">
        <v>19</v>
      </c>
      <c r="C8">
        <v>27118.799999999999</v>
      </c>
      <c r="D8">
        <v>6527.96</v>
      </c>
    </row>
    <row r="9" spans="1:4" x14ac:dyDescent="0.25">
      <c r="A9" t="s">
        <v>13</v>
      </c>
      <c r="B9" t="s">
        <v>20</v>
      </c>
      <c r="C9">
        <v>16476.38</v>
      </c>
      <c r="D9">
        <v>6964.1</v>
      </c>
    </row>
    <row r="10" spans="1:4" x14ac:dyDescent="0.25">
      <c r="A10" t="s">
        <v>10</v>
      </c>
      <c r="B10" t="s">
        <v>21</v>
      </c>
      <c r="C10">
        <v>91705.12</v>
      </c>
      <c r="D10">
        <v>13059.25</v>
      </c>
    </row>
    <row r="11" spans="1:4" x14ac:dyDescent="0.25">
      <c r="A11" t="s">
        <v>13</v>
      </c>
      <c r="B11" t="s">
        <v>22</v>
      </c>
      <c r="C11">
        <v>107532.14</v>
      </c>
      <c r="D11">
        <v>18138.07</v>
      </c>
    </row>
    <row r="12" spans="1:4" x14ac:dyDescent="0.25">
      <c r="A12" t="s">
        <v>13</v>
      </c>
      <c r="B12" t="s">
        <v>118</v>
      </c>
      <c r="C12">
        <v>223843.59</v>
      </c>
      <c r="D12">
        <v>21279.05</v>
      </c>
    </row>
    <row r="13" spans="1:4" x14ac:dyDescent="0.25">
      <c r="A13" t="s">
        <v>10</v>
      </c>
      <c r="B13" t="s">
        <v>31</v>
      </c>
      <c r="C13">
        <v>328449.13</v>
      </c>
      <c r="D13">
        <v>26590.15</v>
      </c>
    </row>
    <row r="14" spans="1:4" x14ac:dyDescent="0.25">
      <c r="A14" t="s">
        <v>13</v>
      </c>
      <c r="B14" t="s">
        <v>28</v>
      </c>
      <c r="C14">
        <v>203412.77</v>
      </c>
      <c r="D14">
        <v>30221.64</v>
      </c>
    </row>
    <row r="15" spans="1:4" x14ac:dyDescent="0.25">
      <c r="A15" t="s">
        <v>13</v>
      </c>
      <c r="B15" t="s">
        <v>119</v>
      </c>
      <c r="C15">
        <v>78479.240000000005</v>
      </c>
      <c r="D15">
        <v>34053.339999999997</v>
      </c>
    </row>
    <row r="16" spans="1:4" x14ac:dyDescent="0.25">
      <c r="A16" t="s">
        <v>16</v>
      </c>
      <c r="B16" t="s">
        <v>42</v>
      </c>
      <c r="C16">
        <v>167380.31</v>
      </c>
      <c r="D16">
        <v>41936.78</v>
      </c>
    </row>
    <row r="17" spans="1:4" x14ac:dyDescent="0.25">
      <c r="A17" t="s">
        <v>16</v>
      </c>
      <c r="B17" t="s">
        <v>120</v>
      </c>
      <c r="C17">
        <v>330007.09999999998</v>
      </c>
      <c r="D17">
        <v>44516.25</v>
      </c>
    </row>
    <row r="18" spans="1:4" x14ac:dyDescent="0.25">
      <c r="A18" t="s">
        <v>16</v>
      </c>
      <c r="B18" t="s">
        <v>26</v>
      </c>
      <c r="C18">
        <v>149528.01</v>
      </c>
      <c r="D18">
        <v>55617.9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8"/>
  <sheetViews>
    <sheetView showGridLines="0" showRowColHeaders="0" tabSelected="1" zoomScale="70" zoomScaleNormal="70" workbookViewId="0">
      <selection activeCell="D26" sqref="D26"/>
    </sheetView>
  </sheetViews>
  <sheetFormatPr defaultRowHeight="15" x14ac:dyDescent="0.25"/>
  <cols>
    <col min="1" max="1" width="16.42578125" style="2" customWidth="1"/>
    <col min="2" max="2" width="58.140625" style="2" customWidth="1"/>
    <col min="3" max="3" width="17.5703125" style="2" customWidth="1"/>
    <col min="4" max="4" width="41.42578125" style="2" customWidth="1"/>
    <col min="5" max="5" width="20.5703125" style="2" customWidth="1"/>
    <col min="6" max="6" width="58.85546875" style="2" customWidth="1"/>
    <col min="7" max="7" width="21.42578125" style="2" customWidth="1"/>
    <col min="8" max="16384" width="9.140625" style="2"/>
  </cols>
  <sheetData>
    <row r="1" spans="1:26" ht="31.5" x14ac:dyDescent="0.5">
      <c r="A1" s="6" t="s">
        <v>125</v>
      </c>
    </row>
    <row r="2" spans="1:26" ht="23.25" x14ac:dyDescent="0.35">
      <c r="A2" s="1" t="s">
        <v>121</v>
      </c>
      <c r="B2" s="5"/>
      <c r="C2" s="1" t="s">
        <v>122</v>
      </c>
      <c r="D2" s="4"/>
      <c r="E2" s="1" t="s">
        <v>124</v>
      </c>
      <c r="F2" s="4"/>
      <c r="G2" s="1" t="s">
        <v>123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3.25" x14ac:dyDescent="0.35">
      <c r="A3" s="1">
        <f>SUM(Sales_by_Region!B2:B5)</f>
        <v>2297201.0699999998</v>
      </c>
      <c r="B3" s="4"/>
      <c r="C3" s="1">
        <f>SUM(Sales_by_Region!C2:C5)</f>
        <v>286397.79000000004</v>
      </c>
      <c r="D3" s="4"/>
      <c r="E3" s="1">
        <f>SUM(Sales_by_Region!D2:D5)</f>
        <v>5009</v>
      </c>
      <c r="F3" s="4"/>
      <c r="G3" s="3">
        <f>C3/A3</f>
        <v>0.12467249547293657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4" customFormat="1" x14ac:dyDescent="0.25"/>
    <row r="5" spans="1:26" s="4" customFormat="1" x14ac:dyDescent="0.25"/>
    <row r="6" spans="1:26" s="4" customFormat="1" x14ac:dyDescent="0.25"/>
    <row r="7" spans="1:26" s="4" customFormat="1" x14ac:dyDescent="0.25"/>
    <row r="8" spans="1:26" s="4" customFormat="1" x14ac:dyDescent="0.25"/>
    <row r="9" spans="1:26" s="4" customFormat="1" x14ac:dyDescent="0.25"/>
    <row r="10" spans="1:26" s="4" customFormat="1" x14ac:dyDescent="0.25"/>
    <row r="11" spans="1:26" s="4" customFormat="1" x14ac:dyDescent="0.25"/>
    <row r="12" spans="1:26" s="4" customFormat="1" x14ac:dyDescent="0.25"/>
    <row r="13" spans="1:26" s="4" customFormat="1" x14ac:dyDescent="0.25"/>
    <row r="14" spans="1:26" s="4" customFormat="1" x14ac:dyDescent="0.25"/>
    <row r="15" spans="1:26" s="4" customFormat="1" x14ac:dyDescent="0.25"/>
    <row r="16" spans="1:26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</sheetData>
  <pageMargins left="0.7" right="0.7" top="0.75" bottom="0.75" header="0.3" footer="0.3"/>
  <pageSetup scale="4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48" workbookViewId="0">
      <selection sqref="A1:C49"/>
    </sheetView>
  </sheetViews>
  <sheetFormatPr defaultRowHeight="15" x14ac:dyDescent="0.25"/>
  <sheetData>
    <row r="1" spans="1:3" x14ac:dyDescent="0.25">
      <c r="A1" t="s">
        <v>69</v>
      </c>
      <c r="B1" t="s">
        <v>1</v>
      </c>
      <c r="C1" t="s">
        <v>2</v>
      </c>
    </row>
    <row r="2" spans="1:3" x14ac:dyDescent="0.25">
      <c r="A2" t="s">
        <v>70</v>
      </c>
      <c r="B2">
        <v>28953.71</v>
      </c>
      <c r="C2">
        <v>4549.46</v>
      </c>
    </row>
    <row r="3" spans="1:3" x14ac:dyDescent="0.25">
      <c r="A3" t="s">
        <v>71</v>
      </c>
      <c r="B3">
        <v>12743.12</v>
      </c>
      <c r="C3">
        <v>2654.58</v>
      </c>
    </row>
    <row r="4" spans="1:3" x14ac:dyDescent="0.25">
      <c r="A4" t="s">
        <v>72</v>
      </c>
      <c r="B4">
        <v>54801.96</v>
      </c>
      <c r="C4">
        <v>92.68</v>
      </c>
    </row>
    <row r="5" spans="1:3" x14ac:dyDescent="0.25">
      <c r="A5" t="s">
        <v>73</v>
      </c>
      <c r="B5">
        <v>24710.03</v>
      </c>
      <c r="C5">
        <v>4601.12</v>
      </c>
    </row>
    <row r="6" spans="1:3" x14ac:dyDescent="0.25">
      <c r="A6" t="s">
        <v>74</v>
      </c>
      <c r="B6">
        <v>29639.84</v>
      </c>
      <c r="C6">
        <v>3912.23</v>
      </c>
    </row>
    <row r="7" spans="1:3" x14ac:dyDescent="0.25">
      <c r="A7" t="s">
        <v>75</v>
      </c>
      <c r="B7">
        <v>29287.06</v>
      </c>
      <c r="C7">
        <v>4499.78</v>
      </c>
    </row>
    <row r="8" spans="1:3" x14ac:dyDescent="0.25">
      <c r="A8" t="s">
        <v>76</v>
      </c>
      <c r="B8">
        <v>35341.230000000003</v>
      </c>
      <c r="C8">
        <v>-1783.56</v>
      </c>
    </row>
    <row r="9" spans="1:3" x14ac:dyDescent="0.25">
      <c r="A9" t="s">
        <v>77</v>
      </c>
      <c r="B9">
        <v>37854.57</v>
      </c>
      <c r="C9">
        <v>2081.2800000000002</v>
      </c>
    </row>
    <row r="10" spans="1:3" x14ac:dyDescent="0.25">
      <c r="A10" t="s">
        <v>78</v>
      </c>
      <c r="B10">
        <v>66110.2</v>
      </c>
      <c r="C10">
        <v>10232.290000000001</v>
      </c>
    </row>
    <row r="11" spans="1:3" x14ac:dyDescent="0.25">
      <c r="A11" t="s">
        <v>79</v>
      </c>
      <c r="B11">
        <v>34561.93</v>
      </c>
      <c r="C11">
        <v>4075.17</v>
      </c>
    </row>
    <row r="12" spans="1:3" x14ac:dyDescent="0.25">
      <c r="A12" t="s">
        <v>80</v>
      </c>
      <c r="B12">
        <v>64817.599999999999</v>
      </c>
      <c r="C12">
        <v>6653.22</v>
      </c>
    </row>
    <row r="13" spans="1:3" x14ac:dyDescent="0.25">
      <c r="A13" t="s">
        <v>81</v>
      </c>
      <c r="B13">
        <v>65426.31</v>
      </c>
      <c r="C13">
        <v>7975.81</v>
      </c>
    </row>
    <row r="14" spans="1:3" x14ac:dyDescent="0.25">
      <c r="A14" t="s">
        <v>82</v>
      </c>
      <c r="B14">
        <v>29347.37</v>
      </c>
      <c r="C14">
        <v>1237.05</v>
      </c>
    </row>
    <row r="15" spans="1:3" x14ac:dyDescent="0.25">
      <c r="A15" t="s">
        <v>83</v>
      </c>
      <c r="B15">
        <v>20728.34</v>
      </c>
      <c r="C15">
        <v>2171.4299999999998</v>
      </c>
    </row>
    <row r="16" spans="1:3" x14ac:dyDescent="0.25">
      <c r="A16" t="s">
        <v>84</v>
      </c>
      <c r="B16">
        <v>40876.620000000003</v>
      </c>
      <c r="C16">
        <v>9165.69</v>
      </c>
    </row>
    <row r="17" spans="1:3" x14ac:dyDescent="0.25">
      <c r="A17" t="s">
        <v>85</v>
      </c>
      <c r="B17">
        <v>38057</v>
      </c>
      <c r="C17">
        <v>6132.94</v>
      </c>
    </row>
    <row r="18" spans="1:3" x14ac:dyDescent="0.25">
      <c r="A18" t="s">
        <v>86</v>
      </c>
      <c r="B18">
        <v>30933.72</v>
      </c>
      <c r="C18">
        <v>2779.37</v>
      </c>
    </row>
    <row r="19" spans="1:3" x14ac:dyDescent="0.25">
      <c r="A19" t="s">
        <v>87</v>
      </c>
      <c r="B19">
        <v>28862.18</v>
      </c>
      <c r="C19">
        <v>4788.3999999999996</v>
      </c>
    </row>
    <row r="20" spans="1:3" x14ac:dyDescent="0.25">
      <c r="A20" t="s">
        <v>88</v>
      </c>
      <c r="B20">
        <v>28730.400000000001</v>
      </c>
      <c r="C20">
        <v>671.78</v>
      </c>
    </row>
    <row r="21" spans="1:3" x14ac:dyDescent="0.25">
      <c r="A21" t="s">
        <v>89</v>
      </c>
      <c r="B21">
        <v>50094.51</v>
      </c>
      <c r="C21">
        <v>10112.25</v>
      </c>
    </row>
    <row r="22" spans="1:3" x14ac:dyDescent="0.25">
      <c r="A22" t="s">
        <v>90</v>
      </c>
      <c r="B22">
        <v>66729.279999999999</v>
      </c>
      <c r="C22">
        <v>9929.3799999999992</v>
      </c>
    </row>
    <row r="23" spans="1:3" x14ac:dyDescent="0.25">
      <c r="A23" t="s">
        <v>91</v>
      </c>
      <c r="B23">
        <v>32025.05</v>
      </c>
      <c r="C23">
        <v>3433.24</v>
      </c>
    </row>
    <row r="24" spans="1:3" x14ac:dyDescent="0.25">
      <c r="A24" t="s">
        <v>92</v>
      </c>
      <c r="B24">
        <v>50732.29</v>
      </c>
      <c r="C24">
        <v>5582.41</v>
      </c>
    </row>
    <row r="25" spans="1:3" x14ac:dyDescent="0.25">
      <c r="A25" t="s">
        <v>93</v>
      </c>
      <c r="B25">
        <v>53415.7</v>
      </c>
      <c r="C25">
        <v>5614.75</v>
      </c>
    </row>
    <row r="26" spans="1:3" x14ac:dyDescent="0.25">
      <c r="A26" t="s">
        <v>94</v>
      </c>
      <c r="B26">
        <v>38048.21</v>
      </c>
      <c r="C26">
        <v>8501.1</v>
      </c>
    </row>
    <row r="27" spans="1:3" x14ac:dyDescent="0.25">
      <c r="A27" t="s">
        <v>95</v>
      </c>
      <c r="B27">
        <v>49238.41</v>
      </c>
      <c r="C27">
        <v>14683.69</v>
      </c>
    </row>
    <row r="28" spans="1:3" x14ac:dyDescent="0.25">
      <c r="A28" t="s">
        <v>96</v>
      </c>
      <c r="B28">
        <v>49612.06</v>
      </c>
      <c r="C28">
        <v>1950.35</v>
      </c>
    </row>
    <row r="29" spans="1:3" x14ac:dyDescent="0.25">
      <c r="A29" t="s">
        <v>97</v>
      </c>
      <c r="B29">
        <v>45192.31</v>
      </c>
      <c r="C29">
        <v>7423.34</v>
      </c>
    </row>
    <row r="30" spans="1:3" x14ac:dyDescent="0.25">
      <c r="A30" t="s">
        <v>98</v>
      </c>
      <c r="B30">
        <v>64964.34</v>
      </c>
      <c r="C30">
        <v>9975.4</v>
      </c>
    </row>
    <row r="31" spans="1:3" x14ac:dyDescent="0.25">
      <c r="A31" t="s">
        <v>99</v>
      </c>
      <c r="B31">
        <v>38991.96</v>
      </c>
      <c r="C31">
        <v>4480.34</v>
      </c>
    </row>
    <row r="32" spans="1:3" x14ac:dyDescent="0.25">
      <c r="A32" t="s">
        <v>100</v>
      </c>
      <c r="B32">
        <v>42773.4</v>
      </c>
      <c r="C32">
        <v>6122.42</v>
      </c>
    </row>
    <row r="33" spans="1:3" x14ac:dyDescent="0.25">
      <c r="A33" t="s">
        <v>101</v>
      </c>
      <c r="B33">
        <v>46339.97</v>
      </c>
      <c r="C33">
        <v>859.43</v>
      </c>
    </row>
    <row r="34" spans="1:3" x14ac:dyDescent="0.25">
      <c r="A34" t="s">
        <v>102</v>
      </c>
      <c r="B34">
        <v>41985.21</v>
      </c>
      <c r="C34">
        <v>5171.87</v>
      </c>
    </row>
    <row r="35" spans="1:3" x14ac:dyDescent="0.25">
      <c r="A35" t="s">
        <v>103</v>
      </c>
      <c r="B35">
        <v>52268.21</v>
      </c>
      <c r="C35">
        <v>8256.5499999999993</v>
      </c>
    </row>
    <row r="36" spans="1:3" x14ac:dyDescent="0.25">
      <c r="A36" t="s">
        <v>104</v>
      </c>
      <c r="B36">
        <v>66837.649999999994</v>
      </c>
      <c r="C36">
        <v>3057.62</v>
      </c>
    </row>
    <row r="37" spans="1:3" x14ac:dyDescent="0.25">
      <c r="A37" t="s">
        <v>105</v>
      </c>
      <c r="B37">
        <v>72954.13</v>
      </c>
      <c r="C37">
        <v>11313.16</v>
      </c>
    </row>
    <row r="38" spans="1:3" x14ac:dyDescent="0.25">
      <c r="A38" t="s">
        <v>106</v>
      </c>
      <c r="B38">
        <v>64734.32</v>
      </c>
      <c r="C38">
        <v>10879.47</v>
      </c>
    </row>
    <row r="39" spans="1:3" x14ac:dyDescent="0.25">
      <c r="A39" t="s">
        <v>107</v>
      </c>
      <c r="B39">
        <v>50011.5</v>
      </c>
      <c r="C39">
        <v>4244.01</v>
      </c>
    </row>
    <row r="40" spans="1:3" x14ac:dyDescent="0.25">
      <c r="A40" t="s">
        <v>108</v>
      </c>
      <c r="B40">
        <v>74774.080000000002</v>
      </c>
      <c r="C40">
        <v>18127.849999999999</v>
      </c>
    </row>
    <row r="41" spans="1:3" x14ac:dyDescent="0.25">
      <c r="A41" t="s">
        <v>109</v>
      </c>
      <c r="B41">
        <v>39071.96</v>
      </c>
      <c r="C41">
        <v>-5890.04</v>
      </c>
    </row>
    <row r="42" spans="1:3" x14ac:dyDescent="0.25">
      <c r="A42" t="s">
        <v>110</v>
      </c>
      <c r="B42">
        <v>40882.43</v>
      </c>
      <c r="C42">
        <v>7567.43</v>
      </c>
    </row>
    <row r="43" spans="1:3" x14ac:dyDescent="0.25">
      <c r="A43" t="s">
        <v>111</v>
      </c>
      <c r="B43">
        <v>47742.31</v>
      </c>
      <c r="C43">
        <v>7396.41</v>
      </c>
    </row>
    <row r="44" spans="1:3" x14ac:dyDescent="0.25">
      <c r="A44" t="s">
        <v>112</v>
      </c>
      <c r="B44">
        <v>54382.06</v>
      </c>
      <c r="C44">
        <v>4997.9399999999996</v>
      </c>
    </row>
    <row r="45" spans="1:3" x14ac:dyDescent="0.25">
      <c r="A45" t="s">
        <v>113</v>
      </c>
      <c r="B45">
        <v>75675.3</v>
      </c>
      <c r="C45">
        <v>11767.5</v>
      </c>
    </row>
    <row r="46" spans="1:3" x14ac:dyDescent="0.25">
      <c r="A46" t="s">
        <v>114</v>
      </c>
      <c r="B46">
        <v>74164.639999999999</v>
      </c>
      <c r="C46">
        <v>9221.52</v>
      </c>
    </row>
    <row r="47" spans="1:3" x14ac:dyDescent="0.25">
      <c r="A47" t="s">
        <v>115</v>
      </c>
      <c r="B47">
        <v>65501.22</v>
      </c>
      <c r="C47">
        <v>6572.18</v>
      </c>
    </row>
    <row r="48" spans="1:3" x14ac:dyDescent="0.25">
      <c r="A48" t="s">
        <v>116</v>
      </c>
      <c r="B48">
        <v>89306.23</v>
      </c>
      <c r="C48">
        <v>11141.83</v>
      </c>
    </row>
    <row r="49" spans="1:3" x14ac:dyDescent="0.25">
      <c r="A49" t="s">
        <v>117</v>
      </c>
      <c r="B49">
        <v>56969.14</v>
      </c>
      <c r="C49">
        <v>7413.67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sheetData>
    <row r="1" spans="1:4" x14ac:dyDescent="0.25">
      <c r="A1" t="s">
        <v>51</v>
      </c>
      <c r="B1" t="s">
        <v>0</v>
      </c>
      <c r="C1" t="s">
        <v>52</v>
      </c>
      <c r="D1" t="s">
        <v>53</v>
      </c>
    </row>
    <row r="2" spans="1:4" x14ac:dyDescent="0.25">
      <c r="A2" t="s">
        <v>54</v>
      </c>
      <c r="B2" t="s">
        <v>7</v>
      </c>
      <c r="C2">
        <v>23669.21</v>
      </c>
      <c r="D2">
        <v>1</v>
      </c>
    </row>
    <row r="3" spans="1:4" x14ac:dyDescent="0.25">
      <c r="A3" t="s">
        <v>55</v>
      </c>
      <c r="B3" t="s">
        <v>6</v>
      </c>
      <c r="C3">
        <v>18437.14</v>
      </c>
      <c r="D3">
        <v>2</v>
      </c>
    </row>
    <row r="4" spans="1:4" x14ac:dyDescent="0.25">
      <c r="A4" t="s">
        <v>56</v>
      </c>
      <c r="B4" t="s">
        <v>4</v>
      </c>
      <c r="C4">
        <v>14345.28</v>
      </c>
      <c r="D4">
        <v>3</v>
      </c>
    </row>
    <row r="5" spans="1:4" x14ac:dyDescent="0.25">
      <c r="A5" t="s">
        <v>57</v>
      </c>
      <c r="B5" t="s">
        <v>5</v>
      </c>
      <c r="C5">
        <v>13723.5</v>
      </c>
      <c r="D5">
        <v>4</v>
      </c>
    </row>
    <row r="6" spans="1:4" x14ac:dyDescent="0.25">
      <c r="A6" t="s">
        <v>58</v>
      </c>
      <c r="B6" t="s">
        <v>6</v>
      </c>
      <c r="C6">
        <v>12181.6</v>
      </c>
      <c r="D6">
        <v>5</v>
      </c>
    </row>
    <row r="7" spans="1:4" x14ac:dyDescent="0.25">
      <c r="A7" t="s">
        <v>59</v>
      </c>
      <c r="B7" t="s">
        <v>6</v>
      </c>
      <c r="C7">
        <v>10539.9</v>
      </c>
      <c r="D7">
        <v>6</v>
      </c>
    </row>
    <row r="8" spans="1:4" x14ac:dyDescent="0.25">
      <c r="A8" t="s">
        <v>60</v>
      </c>
      <c r="B8" t="s">
        <v>5</v>
      </c>
      <c r="C8">
        <v>10522.55</v>
      </c>
      <c r="D8">
        <v>7</v>
      </c>
    </row>
    <row r="9" spans="1:4" x14ac:dyDescent="0.25">
      <c r="A9" t="s">
        <v>61</v>
      </c>
      <c r="B9" t="s">
        <v>5</v>
      </c>
      <c r="C9">
        <v>10022.290000000001</v>
      </c>
      <c r="D9">
        <v>8</v>
      </c>
    </row>
    <row r="10" spans="1:4" x14ac:dyDescent="0.25">
      <c r="A10" t="s">
        <v>62</v>
      </c>
      <c r="B10" t="s">
        <v>6</v>
      </c>
      <c r="C10">
        <v>9900.19</v>
      </c>
      <c r="D10">
        <v>9</v>
      </c>
    </row>
    <row r="11" spans="1:4" x14ac:dyDescent="0.25">
      <c r="A11" t="s">
        <v>63</v>
      </c>
      <c r="B11" t="s">
        <v>5</v>
      </c>
      <c r="C11">
        <v>9382.94</v>
      </c>
      <c r="D11">
        <v>10</v>
      </c>
    </row>
    <row r="12" spans="1:4" x14ac:dyDescent="0.25">
      <c r="A12" t="s">
        <v>64</v>
      </c>
      <c r="B12" t="s">
        <v>5</v>
      </c>
      <c r="C12">
        <v>9216.56</v>
      </c>
      <c r="D12">
        <v>11</v>
      </c>
    </row>
    <row r="13" spans="1:4" x14ac:dyDescent="0.25">
      <c r="A13" t="s">
        <v>65</v>
      </c>
      <c r="B13" t="s">
        <v>7</v>
      </c>
      <c r="C13">
        <v>8805.0400000000009</v>
      </c>
      <c r="D13">
        <v>12</v>
      </c>
    </row>
    <row r="14" spans="1:4" x14ac:dyDescent="0.25">
      <c r="A14" t="s">
        <v>66</v>
      </c>
      <c r="B14" t="s">
        <v>5</v>
      </c>
      <c r="C14">
        <v>8765.66</v>
      </c>
      <c r="D14">
        <v>13</v>
      </c>
    </row>
    <row r="15" spans="1:4" x14ac:dyDescent="0.25">
      <c r="A15" t="s">
        <v>67</v>
      </c>
      <c r="B15" t="s">
        <v>4</v>
      </c>
      <c r="C15">
        <v>8472.39</v>
      </c>
      <c r="D15">
        <v>14</v>
      </c>
    </row>
    <row r="16" spans="1:4" x14ac:dyDescent="0.25">
      <c r="A16" t="s">
        <v>68</v>
      </c>
      <c r="B16" t="s">
        <v>7</v>
      </c>
      <c r="C16">
        <v>8167.42</v>
      </c>
      <c r="D16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45</v>
      </c>
      <c r="C1" t="s">
        <v>46</v>
      </c>
    </row>
    <row r="2" spans="1:3" x14ac:dyDescent="0.25">
      <c r="A2" t="s">
        <v>6</v>
      </c>
      <c r="B2" t="s">
        <v>47</v>
      </c>
      <c r="C2">
        <v>0.28000000000000003</v>
      </c>
    </row>
    <row r="3" spans="1:3" x14ac:dyDescent="0.25">
      <c r="A3" t="s">
        <v>6</v>
      </c>
      <c r="B3" t="s">
        <v>48</v>
      </c>
      <c r="C3">
        <v>24.42</v>
      </c>
    </row>
    <row r="4" spans="1:3" x14ac:dyDescent="0.25">
      <c r="A4" t="s">
        <v>6</v>
      </c>
      <c r="B4" t="s">
        <v>49</v>
      </c>
      <c r="C4">
        <v>32.619999999999997</v>
      </c>
    </row>
    <row r="5" spans="1:3" x14ac:dyDescent="0.25">
      <c r="A5" t="s">
        <v>6</v>
      </c>
      <c r="B5" t="s">
        <v>50</v>
      </c>
      <c r="C5">
        <v>44.06</v>
      </c>
    </row>
    <row r="6" spans="1:3" x14ac:dyDescent="0.25">
      <c r="A6" t="s">
        <v>5</v>
      </c>
      <c r="B6" t="s">
        <v>47</v>
      </c>
      <c r="C6">
        <v>0</v>
      </c>
    </row>
    <row r="7" spans="1:3" x14ac:dyDescent="0.25">
      <c r="A7" t="s">
        <v>5</v>
      </c>
      <c r="B7" t="s">
        <v>48</v>
      </c>
      <c r="C7">
        <v>23.91</v>
      </c>
    </row>
    <row r="8" spans="1:3" x14ac:dyDescent="0.25">
      <c r="A8" t="s">
        <v>5</v>
      </c>
      <c r="B8" t="s">
        <v>49</v>
      </c>
      <c r="C8">
        <v>31.02</v>
      </c>
    </row>
    <row r="9" spans="1:3" x14ac:dyDescent="0.25">
      <c r="A9" t="s">
        <v>5</v>
      </c>
      <c r="B9" t="s">
        <v>50</v>
      </c>
      <c r="C9">
        <v>43.14</v>
      </c>
    </row>
    <row r="10" spans="1:3" x14ac:dyDescent="0.25">
      <c r="A10" t="s">
        <v>7</v>
      </c>
      <c r="B10" t="s">
        <v>47</v>
      </c>
      <c r="C10">
        <v>0.34</v>
      </c>
    </row>
    <row r="11" spans="1:3" x14ac:dyDescent="0.25">
      <c r="A11" t="s">
        <v>7</v>
      </c>
      <c r="B11" t="s">
        <v>48</v>
      </c>
      <c r="C11">
        <v>28.47</v>
      </c>
    </row>
    <row r="12" spans="1:3" x14ac:dyDescent="0.25">
      <c r="A12" t="s">
        <v>7</v>
      </c>
      <c r="B12" t="s">
        <v>49</v>
      </c>
      <c r="C12">
        <v>31.86</v>
      </c>
    </row>
    <row r="13" spans="1:3" x14ac:dyDescent="0.25">
      <c r="A13" t="s">
        <v>7</v>
      </c>
      <c r="B13" t="s">
        <v>50</v>
      </c>
      <c r="C13">
        <v>39.130000000000003</v>
      </c>
    </row>
    <row r="14" spans="1:3" x14ac:dyDescent="0.25">
      <c r="A14" t="s">
        <v>4</v>
      </c>
      <c r="B14" t="s">
        <v>47</v>
      </c>
      <c r="C14">
        <v>2.25</v>
      </c>
    </row>
    <row r="15" spans="1:3" x14ac:dyDescent="0.25">
      <c r="A15" t="s">
        <v>4</v>
      </c>
      <c r="B15" t="s">
        <v>48</v>
      </c>
      <c r="C15">
        <v>20.43</v>
      </c>
    </row>
    <row r="16" spans="1:3" x14ac:dyDescent="0.25">
      <c r="A16" t="s">
        <v>4</v>
      </c>
      <c r="B16" t="s">
        <v>49</v>
      </c>
      <c r="C16">
        <v>27.94</v>
      </c>
    </row>
    <row r="17" spans="1:3" x14ac:dyDescent="0.25">
      <c r="A17" t="s">
        <v>4</v>
      </c>
      <c r="B17" t="s">
        <v>50</v>
      </c>
      <c r="C17">
        <v>40.43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opLeftCell="A2" workbookViewId="0">
      <selection activeCell="E1" activeCellId="1" sqref="A1:A1048576 E1:E1048576"/>
    </sheetView>
  </sheetViews>
  <sheetFormatPr defaultRowHeight="15" x14ac:dyDescent="0.25"/>
  <sheetData>
    <row r="1" spans="1:5" x14ac:dyDescent="0.25">
      <c r="A1" t="s">
        <v>23</v>
      </c>
      <c r="B1" t="s">
        <v>8</v>
      </c>
      <c r="C1" t="s">
        <v>9</v>
      </c>
      <c r="D1" t="s">
        <v>2</v>
      </c>
      <c r="E1" t="s">
        <v>1</v>
      </c>
    </row>
    <row r="2" spans="1:5" x14ac:dyDescent="0.25">
      <c r="A2" t="s">
        <v>25</v>
      </c>
      <c r="B2" t="s">
        <v>16</v>
      </c>
      <c r="C2" t="s">
        <v>26</v>
      </c>
      <c r="D2">
        <v>25199.94</v>
      </c>
      <c r="E2">
        <v>61599.83</v>
      </c>
    </row>
    <row r="3" spans="1:5" x14ac:dyDescent="0.25">
      <c r="A3" t="s">
        <v>27</v>
      </c>
      <c r="B3" t="s">
        <v>13</v>
      </c>
      <c r="C3" t="s">
        <v>28</v>
      </c>
      <c r="D3">
        <v>7753.06</v>
      </c>
      <c r="E3">
        <v>27453.38</v>
      </c>
    </row>
    <row r="4" spans="1:5" x14ac:dyDescent="0.25">
      <c r="A4" t="s">
        <v>34</v>
      </c>
      <c r="B4" t="s">
        <v>16</v>
      </c>
      <c r="C4" t="s">
        <v>26</v>
      </c>
      <c r="D4">
        <v>6983.89</v>
      </c>
      <c r="E4">
        <v>18839.68</v>
      </c>
    </row>
    <row r="5" spans="1:5" x14ac:dyDescent="0.25">
      <c r="A5" t="s">
        <v>38</v>
      </c>
      <c r="B5" t="s">
        <v>16</v>
      </c>
      <c r="C5" t="s">
        <v>26</v>
      </c>
      <c r="D5">
        <v>4570.9399999999996</v>
      </c>
      <c r="E5">
        <v>11619.83</v>
      </c>
    </row>
    <row r="6" spans="1:5" x14ac:dyDescent="0.25">
      <c r="A6" t="s">
        <v>35</v>
      </c>
      <c r="B6" t="s">
        <v>16</v>
      </c>
      <c r="C6" t="s">
        <v>17</v>
      </c>
      <c r="D6">
        <v>4094.98</v>
      </c>
      <c r="E6">
        <v>18374.900000000001</v>
      </c>
    </row>
    <row r="7" spans="1:5" x14ac:dyDescent="0.25">
      <c r="A7" t="s">
        <v>39</v>
      </c>
      <c r="B7" t="s">
        <v>16</v>
      </c>
      <c r="C7" t="s">
        <v>17</v>
      </c>
      <c r="D7">
        <v>3772.95</v>
      </c>
      <c r="E7">
        <v>7699.89</v>
      </c>
    </row>
    <row r="8" spans="1:5" x14ac:dyDescent="0.25">
      <c r="A8" t="s">
        <v>40</v>
      </c>
      <c r="B8" t="s">
        <v>16</v>
      </c>
      <c r="C8" t="s">
        <v>17</v>
      </c>
      <c r="D8">
        <v>3717.97</v>
      </c>
      <c r="E8">
        <v>14299.89</v>
      </c>
    </row>
    <row r="9" spans="1:5" x14ac:dyDescent="0.25">
      <c r="A9" t="s">
        <v>41</v>
      </c>
      <c r="B9" t="s">
        <v>16</v>
      </c>
      <c r="C9" t="s">
        <v>42</v>
      </c>
      <c r="D9">
        <v>3696.28</v>
      </c>
      <c r="E9">
        <v>9367.2900000000009</v>
      </c>
    </row>
    <row r="10" spans="1:5" x14ac:dyDescent="0.25">
      <c r="A10" t="s">
        <v>43</v>
      </c>
      <c r="B10" t="s">
        <v>13</v>
      </c>
      <c r="C10" t="s">
        <v>28</v>
      </c>
      <c r="D10">
        <v>3345.29</v>
      </c>
      <c r="E10">
        <v>15875.92</v>
      </c>
    </row>
    <row r="11" spans="1:5" x14ac:dyDescent="0.25">
      <c r="A11" t="s">
        <v>44</v>
      </c>
      <c r="B11" t="s">
        <v>16</v>
      </c>
      <c r="C11" t="s">
        <v>17</v>
      </c>
      <c r="D11">
        <v>3343.53</v>
      </c>
      <c r="E11">
        <v>6965.7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1" activeCellId="2" sqref="A1 A1:A11 D1:D11"/>
    </sheetView>
  </sheetViews>
  <sheetFormatPr defaultRowHeight="15" x14ac:dyDescent="0.25"/>
  <sheetData>
    <row r="1" spans="1:6" x14ac:dyDescent="0.25">
      <c r="A1" t="s">
        <v>23</v>
      </c>
      <c r="B1" t="s">
        <v>8</v>
      </c>
      <c r="C1" t="s">
        <v>9</v>
      </c>
      <c r="D1" t="s">
        <v>1</v>
      </c>
      <c r="E1" t="s">
        <v>24</v>
      </c>
      <c r="F1" t="s">
        <v>2</v>
      </c>
    </row>
    <row r="2" spans="1:6" x14ac:dyDescent="0.25">
      <c r="A2" t="s">
        <v>25</v>
      </c>
      <c r="B2" t="s">
        <v>16</v>
      </c>
      <c r="C2" t="s">
        <v>26</v>
      </c>
      <c r="D2">
        <v>61599.83</v>
      </c>
      <c r="E2">
        <v>20</v>
      </c>
      <c r="F2">
        <v>25199.94</v>
      </c>
    </row>
    <row r="3" spans="1:6" x14ac:dyDescent="0.25">
      <c r="A3" t="s">
        <v>27</v>
      </c>
      <c r="B3" t="s">
        <v>13</v>
      </c>
      <c r="C3" t="s">
        <v>28</v>
      </c>
      <c r="D3">
        <v>27453.38</v>
      </c>
      <c r="E3">
        <v>31</v>
      </c>
      <c r="F3">
        <v>7753.06</v>
      </c>
    </row>
    <row r="4" spans="1:6" x14ac:dyDescent="0.25">
      <c r="A4" t="s">
        <v>29</v>
      </c>
      <c r="B4" t="s">
        <v>16</v>
      </c>
      <c r="C4" t="s">
        <v>17</v>
      </c>
      <c r="D4">
        <v>22638.48</v>
      </c>
      <c r="E4">
        <v>6</v>
      </c>
      <c r="F4">
        <v>-1811.08</v>
      </c>
    </row>
    <row r="5" spans="1:6" x14ac:dyDescent="0.25">
      <c r="A5" t="s">
        <v>30</v>
      </c>
      <c r="B5" t="s">
        <v>10</v>
      </c>
      <c r="C5" t="s">
        <v>31</v>
      </c>
      <c r="D5">
        <v>21870.57</v>
      </c>
      <c r="E5">
        <v>39</v>
      </c>
      <c r="F5">
        <v>0</v>
      </c>
    </row>
    <row r="6" spans="1:6" x14ac:dyDescent="0.25">
      <c r="A6" t="s">
        <v>32</v>
      </c>
      <c r="B6" t="s">
        <v>13</v>
      </c>
      <c r="C6" t="s">
        <v>28</v>
      </c>
      <c r="D6">
        <v>19823.48</v>
      </c>
      <c r="E6">
        <v>37</v>
      </c>
      <c r="F6">
        <v>2233.5</v>
      </c>
    </row>
    <row r="7" spans="1:6" x14ac:dyDescent="0.25">
      <c r="A7" t="s">
        <v>33</v>
      </c>
      <c r="B7" t="s">
        <v>13</v>
      </c>
      <c r="C7" t="s">
        <v>28</v>
      </c>
      <c r="D7">
        <v>19024.5</v>
      </c>
      <c r="E7">
        <v>48</v>
      </c>
      <c r="F7">
        <v>760.98</v>
      </c>
    </row>
    <row r="8" spans="1:6" x14ac:dyDescent="0.25">
      <c r="A8" t="s">
        <v>34</v>
      </c>
      <c r="B8" t="s">
        <v>16</v>
      </c>
      <c r="C8" t="s">
        <v>26</v>
      </c>
      <c r="D8">
        <v>18839.68</v>
      </c>
      <c r="E8">
        <v>38</v>
      </c>
      <c r="F8">
        <v>6983.89</v>
      </c>
    </row>
    <row r="9" spans="1:6" x14ac:dyDescent="0.25">
      <c r="A9" t="s">
        <v>35</v>
      </c>
      <c r="B9" t="s">
        <v>16</v>
      </c>
      <c r="C9" t="s">
        <v>17</v>
      </c>
      <c r="D9">
        <v>18374.900000000001</v>
      </c>
      <c r="E9">
        <v>12</v>
      </c>
      <c r="F9">
        <v>4094.98</v>
      </c>
    </row>
    <row r="10" spans="1:6" x14ac:dyDescent="0.25">
      <c r="A10" t="s">
        <v>36</v>
      </c>
      <c r="B10" t="s">
        <v>13</v>
      </c>
      <c r="C10" t="s">
        <v>28</v>
      </c>
      <c r="D10">
        <v>17965.07</v>
      </c>
      <c r="E10">
        <v>27</v>
      </c>
      <c r="F10">
        <v>-1878.17</v>
      </c>
    </row>
    <row r="11" spans="1:6" x14ac:dyDescent="0.25">
      <c r="A11" t="s">
        <v>37</v>
      </c>
      <c r="B11" t="s">
        <v>13</v>
      </c>
      <c r="C11" t="s">
        <v>14</v>
      </c>
      <c r="D11">
        <v>17030.310000000001</v>
      </c>
      <c r="E11">
        <v>11</v>
      </c>
      <c r="F11">
        <v>-262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6" sqref="B6"/>
    </sheetView>
  </sheetViews>
  <sheetFormatPr defaultRowHeight="15" x14ac:dyDescent="0.25"/>
  <cols>
    <col min="2" max="2" width="13.28515625" customWidth="1"/>
    <col min="3" max="3" width="13" customWidth="1"/>
    <col min="4" max="4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725457.93</v>
      </c>
      <c r="C2">
        <v>108418.79</v>
      </c>
      <c r="D2">
        <v>1611</v>
      </c>
    </row>
    <row r="3" spans="1:4" x14ac:dyDescent="0.25">
      <c r="A3" t="s">
        <v>5</v>
      </c>
      <c r="B3">
        <v>678781.36</v>
      </c>
      <c r="C3">
        <v>91522.84</v>
      </c>
      <c r="D3">
        <v>1401</v>
      </c>
    </row>
    <row r="4" spans="1:4" x14ac:dyDescent="0.25">
      <c r="A4" t="s">
        <v>6</v>
      </c>
      <c r="B4">
        <v>501239.88</v>
      </c>
      <c r="C4">
        <v>39706.449999999997</v>
      </c>
      <c r="D4">
        <v>1175</v>
      </c>
    </row>
    <row r="5" spans="1:4" x14ac:dyDescent="0.25">
      <c r="A5" t="s">
        <v>7</v>
      </c>
      <c r="B5">
        <v>391721.9</v>
      </c>
      <c r="C5">
        <v>46749.71</v>
      </c>
      <c r="D5">
        <v>822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subcategory_profit_v2</vt:lpstr>
      <vt:lpstr>Dashboard</vt:lpstr>
      <vt:lpstr>monthly_sales_trend</vt:lpstr>
      <vt:lpstr>top_customers</vt:lpstr>
      <vt:lpstr>shipping_time</vt:lpstr>
      <vt:lpstr>top_products_profit</vt:lpstr>
      <vt:lpstr>top_products_sales</vt:lpstr>
      <vt:lpstr>Sales_by_Region</vt:lpstr>
      <vt:lpstr>Sheet1</vt:lpstr>
      <vt:lpstr>Dashboard!Print_Area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2026-07-08T06:30:17Z</cp:lastPrinted>
  <dcterms:created xsi:type="dcterms:W3CDTF">2026-07-07T08:20:31Z</dcterms:created>
  <dcterms:modified xsi:type="dcterms:W3CDTF">2026-07-08T08:06:04Z</dcterms:modified>
</cp:coreProperties>
</file>